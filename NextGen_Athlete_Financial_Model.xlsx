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cenari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Model</author>
  </authors>
  <commentList>
    <comment ref="C6" authorId="0">
      <text>
        <r>
          <rPr>
            <sz val="10"/>
            <rFont val="Arial"/>
            <family val="2"/>
          </rPr>
          <t xml:space="preserve">Validated comp: Techne Futbol $9.99/mo youth soccer training</t>
        </r>
      </text>
    </comment>
    <comment ref="C8" authorId="0">
      <text>
        <r>
          <rPr>
            <sz val="10"/>
            <rFont val="Arial"/>
            <family val="2"/>
          </rPr>
          <t xml:space="preserve">Revised model — clubs pay nothing; product is free to access and promote</t>
        </r>
      </text>
    </comment>
    <comment ref="C9" authorId="0">
      <text>
        <r>
          <rPr>
            <sz val="10"/>
            <rFont val="Arial"/>
            <family val="2"/>
          </rPr>
          <t xml:space="preserve">Revised 70/30 split in founder favour</t>
        </r>
      </text>
    </comment>
    <comment ref="C13" authorId="0">
      <text>
        <r>
          <rPr>
            <sz val="10"/>
            <rFont val="Arial"/>
            <family val="2"/>
          </rPr>
          <t xml:space="preserve">Typical AU community club junior roster (200-400)</t>
        </r>
      </text>
    </comment>
  </commentList>
</comments>
</file>

<file path=xl/sharedStrings.xml><?xml version="1.0" encoding="utf-8"?>
<sst xmlns="http://schemas.openxmlformats.org/spreadsheetml/2006/main" count="58" uniqueCount="37">
  <si>
    <t xml:space="preserve">NextGen Athlete — Business Case Model (v2: free-to-club, 70/30)</t>
  </si>
  <si>
    <t xml:space="preserve">Revised model: clubs pay NO licence and access the product free; they earn 30% of subscriptions for promoting it. NextGen keeps 70%.</t>
  </si>
  <si>
    <t xml:space="preserve">SHARED ASSUMPTIONS</t>
  </si>
  <si>
    <t xml:space="preserve">Athlete subscription (per month)</t>
  </si>
  <si>
    <t xml:space="preserve">Athlete subscription (per year)</t>
  </si>
  <si>
    <t xml:space="preserve">Club annual licence fee</t>
  </si>
  <si>
    <t xml:space="preserve">FREE</t>
  </si>
  <si>
    <t xml:space="preserve">NextGen share of subscription revenue</t>
  </si>
  <si>
    <t xml:space="preserve">Club share of subscription revenue</t>
  </si>
  <si>
    <t xml:space="preserve">NextGen revenue per paying athlete / year</t>
  </si>
  <si>
    <t xml:space="preserve">Club revenue per paying athlete / year</t>
  </si>
  <si>
    <t xml:space="preserve">Average juniors per club (total roster)</t>
  </si>
  <si>
    <t xml:space="preserve">CLUB INCENTIVE — free money for zero cost</t>
  </si>
  <si>
    <t xml:space="preserve">With no licence to recoup, every paying athlete is pure upside for the club. Club annual earnings at different conversion levels:</t>
  </si>
  <si>
    <t xml:space="preserve">Paid conversion of juniors</t>
  </si>
  <si>
    <t xml:space="preserve">Paying athletes per club</t>
  </si>
  <si>
    <t xml:space="preserve">Club earnings per year (30% share)</t>
  </si>
  <si>
    <t xml:space="preserve">Takeaway: clubs face zero cost or risk and earn money simply by promoting the app — removing the hardest sale in the original plan.</t>
  </si>
  <si>
    <t xml:space="preserve">Trade-off to watch: at 30% (vs the old 60%) the per-athlete reward to the club is smaller, so the club incentive only feels material at decent volume.</t>
  </si>
  <si>
    <t xml:space="preserve">Three Growth Scenarios — NextGen net revenue (v2: free-to-club, 70/30)</t>
  </si>
  <si>
    <t xml:space="preserve">All revenue is now subscription-driven (no licence). Free access lowers adoption friction, so club ramps are faster than the prior model.</t>
  </si>
  <si>
    <t xml:space="preserve">SCENARIO A — Ambition case (original club/athlete targets)</t>
  </si>
  <si>
    <t xml:space="preserve">Year 1</t>
  </si>
  <si>
    <t xml:space="preserve">Year 2</t>
  </si>
  <si>
    <t xml:space="preserve">Year 3</t>
  </si>
  <si>
    <t xml:space="preserve">Clubs</t>
  </si>
  <si>
    <t xml:space="preserve">n/a</t>
  </si>
  <si>
    <t xml:space="preserve">Paying athletes</t>
  </si>
  <si>
    <t xml:space="preserve">Subscription revenue (gross)</t>
  </si>
  <si>
    <t xml:space="preserve">NextGen revenue (70% of subs)</t>
  </si>
  <si>
    <t xml:space="preserve">Club earnings (30% of subs, for free)</t>
  </si>
  <si>
    <t xml:space="preserve">Original targets, now under free/70% economics. Free access makes the 200-club goal more achievable than before.</t>
  </si>
  <si>
    <t xml:space="preserve">SCENARIO B — Realistic base (free access lifts adoption)</t>
  </si>
  <si>
    <t xml:space="preserve">Faster club ramp than prior model (was 5/20/50) because there is no licence barrier; 18% paid conversion.</t>
  </si>
  <si>
    <t xml:space="preserve">SCENARIO C — Conservative</t>
  </si>
  <si>
    <t xml:space="preserve">Slower adoption; 12% conversion.</t>
  </si>
  <si>
    <t xml:space="preserve">vs prior model (licence + 40% subs): Realistic Yr 3 was ~$308k. New model both raises per-athlete economics and eases adoption.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</si>
</sst>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@"/>
    <numFmt numFmtId="167" formatCode="0.0%"/>
    <numFmt numFmtId="168" formatCode="#,##0"/>
    <numFmt numFmtId="169" formatCode="\$#,##0;&quot;($&quot;#,##0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E2761"/>
      <name val="Arial"/>
      <family val="0"/>
      <charset val="1"/>
    </font>
    <font>
      <i val="true"/>
      <sz val="9"/>
      <color rgb="FF2C5F2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2C5F2D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2C5F2D"/>
      <name val="Arial"/>
      <family val="0"/>
      <charset val="1"/>
    </font>
    <font>
      <i val="true"/>
      <sz val="9"/>
      <color rgb="FFB85042"/>
      <name val="Arial"/>
      <family val="0"/>
      <charset val="1"/>
    </font>
    <font>
      <sz val="10"/>
      <name val="Arial"/>
      <family val="2"/>
    </font>
    <font>
      <b val="true"/>
      <sz val="14"/>
      <color rgb="FF1E2761"/>
      <name val="Arial"/>
      <family val="0"/>
      <charset val="1"/>
    </font>
    <font>
      <sz val="10"/>
      <color rgb="FF2C5F2D"/>
      <name val="Arial"/>
      <family val="0"/>
      <charset val="1"/>
    </font>
    <font>
      <i val="true"/>
      <sz val="8"/>
      <color rgb="FF777777"/>
      <name val="Arial"/>
      <family val="0"/>
      <charset val="1"/>
    </font>
    <font>
      <i val="true"/>
      <sz val="9"/>
      <color rgb="FF1E276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2761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CADCFC"/>
        <bgColor rgb="FFE2EFDA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B85042"/>
      <rgbColor rgb="FFF2F2F2"/>
      <rgbColor rgb="FFCCFFFF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C5F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5" min="3" style="0" width="16"/>
    <col collapsed="false" customWidth="true" hidden="false" outlineLevel="0" max="6" min="6" style="0" width="14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D5" s="4"/>
      <c r="E5" s="4"/>
      <c r="F5" s="4"/>
    </row>
    <row r="6" customFormat="false" ht="15" hidden="false" customHeight="false" outlineLevel="0" collapsed="false">
      <c r="B6" s="5" t="s">
        <v>3</v>
      </c>
      <c r="C6" s="6" t="n">
        <v>9.99</v>
      </c>
    </row>
    <row r="7" customFormat="false" ht="15" hidden="false" customHeight="false" outlineLevel="0" collapsed="false">
      <c r="B7" s="5" t="s">
        <v>4</v>
      </c>
      <c r="C7" s="7" t="n">
        <f aca="false">C6*12</f>
        <v>119.88</v>
      </c>
    </row>
    <row r="8" customFormat="false" ht="15" hidden="false" customHeight="false" outlineLevel="0" collapsed="false">
      <c r="B8" s="5" t="s">
        <v>5</v>
      </c>
      <c r="C8" s="8" t="s">
        <v>6</v>
      </c>
    </row>
    <row r="9" customFormat="false" ht="15" hidden="false" customHeight="false" outlineLevel="0" collapsed="false">
      <c r="B9" s="5" t="s">
        <v>7</v>
      </c>
      <c r="C9" s="9" t="n">
        <v>0.7</v>
      </c>
    </row>
    <row r="10" customFormat="false" ht="15" hidden="false" customHeight="false" outlineLevel="0" collapsed="false">
      <c r="B10" s="5" t="s">
        <v>8</v>
      </c>
      <c r="C10" s="10" t="n">
        <f aca="false">1-C9</f>
        <v>0.3</v>
      </c>
    </row>
    <row r="11" customFormat="false" ht="15" hidden="false" customHeight="false" outlineLevel="0" collapsed="false">
      <c r="B11" s="5" t="s">
        <v>9</v>
      </c>
      <c r="C11" s="7" t="n">
        <f aca="false">C7*C9</f>
        <v>83.916</v>
      </c>
    </row>
    <row r="12" customFormat="false" ht="15" hidden="false" customHeight="false" outlineLevel="0" collapsed="false">
      <c r="B12" s="5" t="s">
        <v>10</v>
      </c>
      <c r="C12" s="7" t="n">
        <f aca="false">C7*C10</f>
        <v>35.964</v>
      </c>
    </row>
    <row r="13" customFormat="false" ht="15" hidden="false" customHeight="false" outlineLevel="0" collapsed="false">
      <c r="B13" s="5" t="s">
        <v>11</v>
      </c>
      <c r="C13" s="11" t="n">
        <v>250</v>
      </c>
    </row>
    <row r="15" customFormat="false" ht="15" hidden="false" customHeight="false" outlineLevel="0" collapsed="false">
      <c r="B15" s="3" t="s">
        <v>12</v>
      </c>
      <c r="C15" s="4"/>
      <c r="D15" s="4"/>
      <c r="E15" s="4"/>
      <c r="F15" s="4"/>
    </row>
    <row r="16" customFormat="false" ht="15" hidden="false" customHeight="false" outlineLevel="0" collapsed="false">
      <c r="B16" s="12" t="s">
        <v>13</v>
      </c>
    </row>
    <row r="17" customFormat="false" ht="15" hidden="false" customHeight="false" outlineLevel="0" collapsed="false">
      <c r="B17" s="13" t="s">
        <v>14</v>
      </c>
      <c r="C17" s="14" t="n">
        <v>0.1</v>
      </c>
      <c r="D17" s="14" t="n">
        <v>0.2</v>
      </c>
      <c r="E17" s="14" t="n">
        <v>0.3</v>
      </c>
    </row>
    <row r="18" customFormat="false" ht="15" hidden="false" customHeight="false" outlineLevel="0" collapsed="false">
      <c r="B18" s="5" t="s">
        <v>15</v>
      </c>
      <c r="C18" s="15" t="n">
        <f aca="false">$C$13*C17</f>
        <v>25</v>
      </c>
      <c r="D18" s="15" t="n">
        <f aca="false">$C$13*D17</f>
        <v>50</v>
      </c>
      <c r="E18" s="15" t="n">
        <f aca="false">$C$13*E17</f>
        <v>75</v>
      </c>
    </row>
    <row r="19" customFormat="false" ht="15" hidden="false" customHeight="false" outlineLevel="0" collapsed="false">
      <c r="B19" s="13" t="s">
        <v>16</v>
      </c>
      <c r="C19" s="16" t="n">
        <f aca="false">C18*$C$7*$C$10</f>
        <v>899.1</v>
      </c>
      <c r="D19" s="16" t="n">
        <f aca="false">D18*$C$7*$C$10</f>
        <v>1798.2</v>
      </c>
      <c r="E19" s="16" t="n">
        <f aca="false">E18*$C$7*$C$10</f>
        <v>2697.3</v>
      </c>
    </row>
    <row r="21" customFormat="false" ht="15" hidden="false" customHeight="false" outlineLevel="0" collapsed="false">
      <c r="B21" s="17" t="s">
        <v>17</v>
      </c>
    </row>
    <row r="22" customFormat="false" ht="15" hidden="false" customHeight="false" outlineLevel="0" collapsed="false">
      <c r="B22" s="18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5" min="3" style="0" width="14"/>
  </cols>
  <sheetData>
    <row r="2" customFormat="false" ht="17.35" hidden="false" customHeight="false" outlineLevel="0" collapsed="false">
      <c r="B2" s="19" t="s">
        <v>19</v>
      </c>
    </row>
    <row r="3" customFormat="false" ht="15" hidden="false" customHeight="false" outlineLevel="0" collapsed="false">
      <c r="B3" s="12" t="s">
        <v>20</v>
      </c>
    </row>
    <row r="5" customFormat="false" ht="15" hidden="false" customHeight="false" outlineLevel="0" collapsed="false">
      <c r="B5" s="3" t="s">
        <v>21</v>
      </c>
      <c r="C5" s="4"/>
      <c r="D5" s="4"/>
      <c r="E5" s="4"/>
    </row>
    <row r="6" customFormat="false" ht="15" hidden="false" customHeight="false" outlineLevel="0" collapsed="false">
      <c r="B6" s="20"/>
      <c r="C6" s="21" t="s">
        <v>22</v>
      </c>
      <c r="D6" s="21" t="s">
        <v>23</v>
      </c>
      <c r="E6" s="21" t="s">
        <v>24</v>
      </c>
    </row>
    <row r="7" customFormat="false" ht="15" hidden="false" customHeight="false" outlineLevel="0" collapsed="false">
      <c r="B7" s="22" t="s">
        <v>25</v>
      </c>
      <c r="C7" s="11" t="n">
        <v>5</v>
      </c>
      <c r="D7" s="11" t="n">
        <v>50</v>
      </c>
      <c r="E7" s="11" t="n">
        <v>200</v>
      </c>
    </row>
    <row r="8" customFormat="false" ht="15" hidden="false" customHeight="false" outlineLevel="0" collapsed="false">
      <c r="B8" s="22" t="s">
        <v>14</v>
      </c>
      <c r="C8" s="5" t="s">
        <v>26</v>
      </c>
      <c r="D8" s="5" t="s">
        <v>26</v>
      </c>
      <c r="E8" s="5" t="s">
        <v>26</v>
      </c>
    </row>
    <row r="9" customFormat="false" ht="15" hidden="false" customHeight="false" outlineLevel="0" collapsed="false">
      <c r="B9" s="23" t="s">
        <v>27</v>
      </c>
      <c r="C9" s="11" t="n">
        <v>500</v>
      </c>
      <c r="D9" s="11" t="n">
        <v>5000</v>
      </c>
      <c r="E9" s="11" t="n">
        <v>25000</v>
      </c>
    </row>
    <row r="10" customFormat="false" ht="15" hidden="false" customHeight="false" outlineLevel="0" collapsed="false">
      <c r="B10" s="22" t="s">
        <v>28</v>
      </c>
      <c r="C10" s="24" t="n">
        <f aca="false">C9*Assumptions!$C$7</f>
        <v>59940</v>
      </c>
      <c r="D10" s="24" t="n">
        <f aca="false">D9*Assumptions!$C$7</f>
        <v>599400</v>
      </c>
      <c r="E10" s="24" t="n">
        <f aca="false">E9*Assumptions!$C$7</f>
        <v>2997000</v>
      </c>
    </row>
    <row r="11" customFormat="false" ht="15" hidden="false" customHeight="false" outlineLevel="0" collapsed="false">
      <c r="B11" s="23" t="s">
        <v>29</v>
      </c>
      <c r="C11" s="25" t="n">
        <f aca="false">C9*Assumptions!$C$11</f>
        <v>41958</v>
      </c>
      <c r="D11" s="25" t="n">
        <f aca="false">D9*Assumptions!$C$11</f>
        <v>419580</v>
      </c>
      <c r="E11" s="25" t="n">
        <f aca="false">E9*Assumptions!$C$11</f>
        <v>2097900</v>
      </c>
    </row>
    <row r="12" customFormat="false" ht="15" hidden="false" customHeight="false" outlineLevel="0" collapsed="false">
      <c r="B12" s="22" t="s">
        <v>30</v>
      </c>
      <c r="C12" s="26" t="n">
        <f aca="false">C9*Assumptions!$C$12</f>
        <v>17982</v>
      </c>
      <c r="D12" s="26" t="n">
        <f aca="false">D9*Assumptions!$C$12</f>
        <v>179820</v>
      </c>
      <c r="E12" s="26" t="n">
        <f aca="false">E9*Assumptions!$C$12</f>
        <v>899100</v>
      </c>
    </row>
    <row r="13" customFormat="false" ht="15" hidden="false" customHeight="false" outlineLevel="0" collapsed="false">
      <c r="B13" s="27" t="s">
        <v>31</v>
      </c>
    </row>
    <row r="15" customFormat="false" ht="15" hidden="false" customHeight="false" outlineLevel="0" collapsed="false">
      <c r="B15" s="3" t="s">
        <v>32</v>
      </c>
      <c r="C15" s="4"/>
      <c r="D15" s="4"/>
      <c r="E15" s="4"/>
    </row>
    <row r="16" customFormat="false" ht="15" hidden="false" customHeight="false" outlineLevel="0" collapsed="false">
      <c r="B16" s="20"/>
      <c r="C16" s="21" t="s">
        <v>22</v>
      </c>
      <c r="D16" s="21" t="s">
        <v>23</v>
      </c>
      <c r="E16" s="21" t="s">
        <v>24</v>
      </c>
    </row>
    <row r="17" customFormat="false" ht="15" hidden="false" customHeight="false" outlineLevel="0" collapsed="false">
      <c r="B17" s="22" t="s">
        <v>25</v>
      </c>
      <c r="C17" s="11" t="n">
        <v>10</v>
      </c>
      <c r="D17" s="11" t="n">
        <v>40</v>
      </c>
      <c r="E17" s="11" t="n">
        <v>120</v>
      </c>
    </row>
    <row r="18" customFormat="false" ht="15" hidden="false" customHeight="false" outlineLevel="0" collapsed="false">
      <c r="B18" s="22" t="s">
        <v>14</v>
      </c>
      <c r="C18" s="9" t="n">
        <v>0.18</v>
      </c>
      <c r="D18" s="9" t="n">
        <v>0.18</v>
      </c>
      <c r="E18" s="9" t="n">
        <v>0.18</v>
      </c>
    </row>
    <row r="19" customFormat="false" ht="15" hidden="false" customHeight="false" outlineLevel="0" collapsed="false">
      <c r="B19" s="23" t="s">
        <v>27</v>
      </c>
      <c r="C19" s="28" t="n">
        <f aca="false">C17*Assumptions!$C$13*C18</f>
        <v>450</v>
      </c>
      <c r="D19" s="28" t="n">
        <f aca="false">D17*Assumptions!$C$13*D18</f>
        <v>1800</v>
      </c>
      <c r="E19" s="28" t="n">
        <f aca="false">E17*Assumptions!$C$13*E18</f>
        <v>5400</v>
      </c>
    </row>
    <row r="20" customFormat="false" ht="15" hidden="false" customHeight="false" outlineLevel="0" collapsed="false">
      <c r="B20" s="22" t="s">
        <v>28</v>
      </c>
      <c r="C20" s="24" t="n">
        <f aca="false">C19*Assumptions!$C$7</f>
        <v>53946</v>
      </c>
      <c r="D20" s="24" t="n">
        <f aca="false">D19*Assumptions!$C$7</f>
        <v>215784</v>
      </c>
      <c r="E20" s="24" t="n">
        <f aca="false">E19*Assumptions!$C$7</f>
        <v>647352</v>
      </c>
    </row>
    <row r="21" customFormat="false" ht="15" hidden="false" customHeight="false" outlineLevel="0" collapsed="false">
      <c r="B21" s="23" t="s">
        <v>29</v>
      </c>
      <c r="C21" s="25" t="n">
        <f aca="false">C19*Assumptions!$C$11</f>
        <v>37762.2</v>
      </c>
      <c r="D21" s="25" t="n">
        <f aca="false">D19*Assumptions!$C$11</f>
        <v>151048.8</v>
      </c>
      <c r="E21" s="25" t="n">
        <f aca="false">E19*Assumptions!$C$11</f>
        <v>453146.4</v>
      </c>
    </row>
    <row r="22" customFormat="false" ht="15" hidden="false" customHeight="false" outlineLevel="0" collapsed="false">
      <c r="B22" s="22" t="s">
        <v>30</v>
      </c>
      <c r="C22" s="26" t="n">
        <f aca="false">C19*Assumptions!$C$12</f>
        <v>16183.8</v>
      </c>
      <c r="D22" s="26" t="n">
        <f aca="false">D19*Assumptions!$C$12</f>
        <v>64735.2</v>
      </c>
      <c r="E22" s="26" t="n">
        <f aca="false">E19*Assumptions!$C$12</f>
        <v>194205.6</v>
      </c>
    </row>
    <row r="23" customFormat="false" ht="15" hidden="false" customHeight="false" outlineLevel="0" collapsed="false">
      <c r="B23" s="27" t="s">
        <v>33</v>
      </c>
    </row>
    <row r="25" customFormat="false" ht="15" hidden="false" customHeight="false" outlineLevel="0" collapsed="false">
      <c r="B25" s="3" t="s">
        <v>34</v>
      </c>
      <c r="C25" s="4"/>
      <c r="D25" s="4"/>
      <c r="E25" s="4"/>
    </row>
    <row r="26" customFormat="false" ht="15" hidden="false" customHeight="false" outlineLevel="0" collapsed="false">
      <c r="B26" s="20"/>
      <c r="C26" s="21" t="s">
        <v>22</v>
      </c>
      <c r="D26" s="21" t="s">
        <v>23</v>
      </c>
      <c r="E26" s="21" t="s">
        <v>24</v>
      </c>
    </row>
    <row r="27" customFormat="false" ht="15" hidden="false" customHeight="false" outlineLevel="0" collapsed="false">
      <c r="B27" s="22" t="s">
        <v>25</v>
      </c>
      <c r="C27" s="11" t="n">
        <v>6</v>
      </c>
      <c r="D27" s="11" t="n">
        <v>20</v>
      </c>
      <c r="E27" s="11" t="n">
        <v>50</v>
      </c>
    </row>
    <row r="28" customFormat="false" ht="15" hidden="false" customHeight="false" outlineLevel="0" collapsed="false">
      <c r="B28" s="22" t="s">
        <v>14</v>
      </c>
      <c r="C28" s="9" t="n">
        <v>0.12</v>
      </c>
      <c r="D28" s="9" t="n">
        <v>0.12</v>
      </c>
      <c r="E28" s="9" t="n">
        <v>0.12</v>
      </c>
    </row>
    <row r="29" customFormat="false" ht="15" hidden="false" customHeight="false" outlineLevel="0" collapsed="false">
      <c r="B29" s="23" t="s">
        <v>27</v>
      </c>
      <c r="C29" s="28" t="n">
        <f aca="false">C27*Assumptions!$C$13*C28</f>
        <v>180</v>
      </c>
      <c r="D29" s="28" t="n">
        <f aca="false">D27*Assumptions!$C$13*D28</f>
        <v>600</v>
      </c>
      <c r="E29" s="28" t="n">
        <f aca="false">E27*Assumptions!$C$13*E28</f>
        <v>1500</v>
      </c>
    </row>
    <row r="30" customFormat="false" ht="15" hidden="false" customHeight="false" outlineLevel="0" collapsed="false">
      <c r="B30" s="22" t="s">
        <v>28</v>
      </c>
      <c r="C30" s="24" t="n">
        <f aca="false">C29*Assumptions!$C$7</f>
        <v>21578.4</v>
      </c>
      <c r="D30" s="24" t="n">
        <f aca="false">D29*Assumptions!$C$7</f>
        <v>71928</v>
      </c>
      <c r="E30" s="24" t="n">
        <f aca="false">E29*Assumptions!$C$7</f>
        <v>179820</v>
      </c>
    </row>
    <row r="31" customFormat="false" ht="15" hidden="false" customHeight="false" outlineLevel="0" collapsed="false">
      <c r="B31" s="23" t="s">
        <v>29</v>
      </c>
      <c r="C31" s="25" t="n">
        <f aca="false">C29*Assumptions!$C$11</f>
        <v>15104.88</v>
      </c>
      <c r="D31" s="25" t="n">
        <f aca="false">D29*Assumptions!$C$11</f>
        <v>50349.6</v>
      </c>
      <c r="E31" s="25" t="n">
        <f aca="false">E29*Assumptions!$C$11</f>
        <v>125874</v>
      </c>
    </row>
    <row r="32" customFormat="false" ht="15" hidden="false" customHeight="false" outlineLevel="0" collapsed="false">
      <c r="B32" s="22" t="s">
        <v>30</v>
      </c>
      <c r="C32" s="26" t="n">
        <f aca="false">C29*Assumptions!$C$12</f>
        <v>6473.52</v>
      </c>
      <c r="D32" s="26" t="n">
        <f aca="false">D29*Assumptions!$C$12</f>
        <v>21578.4</v>
      </c>
      <c r="E32" s="26" t="n">
        <f aca="false">E29*Assumptions!$C$12</f>
        <v>53946</v>
      </c>
    </row>
    <row r="33" customFormat="false" ht="15" hidden="false" customHeight="false" outlineLevel="0" collapsed="false">
      <c r="B33" s="27" t="s">
        <v>35</v>
      </c>
    </row>
    <row r="35" customFormat="false" ht="15" hidden="false" customHeight="false" outlineLevel="0" collapsed="false">
      <c r="B35" s="29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2026-06-18T08:40:11Z</dcterms:created>
  <dc:creator>openpyxl</dc:creator>
  <dc:description/>
  <dc:language>en-US</dc:language>
  <cp:lastModifiedBy/>
  <dcterms:modified xsi:type="dcterms:W3CDTF">2026-06-18T08:40:38Z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